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rcc\Downloads\"/>
    </mc:Choice>
  </mc:AlternateContent>
  <bookViews>
    <workbookView xWindow="-105" yWindow="-105" windowWidth="19425" windowHeight="10425"/>
  </bookViews>
  <sheets>
    <sheet name="Form responses 1" sheetId="1" r:id="rId1"/>
  </sheets>
  <calcPr calcId="162913"/>
</workbook>
</file>

<file path=xl/calcChain.xml><?xml version="1.0" encoding="utf-8"?>
<calcChain xmlns="http://schemas.openxmlformats.org/spreadsheetml/2006/main">
  <c r="E53" i="1" l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2" i="1"/>
  <c r="C52" i="1"/>
  <c r="B52" i="1"/>
</calcChain>
</file>

<file path=xl/sharedStrings.xml><?xml version="1.0" encoding="utf-8"?>
<sst xmlns="http://schemas.openxmlformats.org/spreadsheetml/2006/main" count="6" uniqueCount="6">
  <si>
    <t>Roll No</t>
  </si>
  <si>
    <t>Height (In cm)</t>
  </si>
  <si>
    <t>Weight (In kg)</t>
  </si>
  <si>
    <t>Total</t>
  </si>
  <si>
    <t>Column1</t>
  </si>
  <si>
    <t>Column2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</si>
</sst>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center"/>
    </xf>
    <xf numFmtId="0" fontId="1" fillId="2" borderId="0" xfId="0" applyFont="1" applyFill="1" applyAlignment="1">
      <alignment horizontal="left" vertical="center"/>
    </xf>
    <xf numFmtId="0" fontId="0" fillId="2" borderId="0" xfId="0" applyFill="1"/>
    <xf numFmtId="0" fontId="1" fillId="0" borderId="0" xfId="0" quotePrefix="1" applyNumberFormat="1" applyFont="1" applyAlignment="1">
      <alignment vertical="center"/>
    </xf>
    <xf numFmtId="0" fontId="0" fillId="0" borderId="0" xfId="0" applyAlignment="1">
      <alignment horizontal="right"/>
    </xf>
  </cellXfs>
  <cellStyles count="1">
    <cellStyle name="Normal" xfId="0" builtinId="0"/>
  </cellStyles>
  <dxfs count="6">
    <dxf>
      <numFmt numFmtId="0" formatCode="General"/>
    </dxf>
    <dxf>
      <fill>
        <patternFill patternType="solid">
          <fgColor indexed="64"/>
          <bgColor theme="0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Form responses 1-style" pivot="0" count="4">
      <tableStyleElement type="wholeTable" size="0" dxfId="5"/>
      <tableStyleElement type="headerRow" dxfId="4"/>
      <tableStyleElement type="firstRowStripe" dxfId="3"/>
      <tableStyleElement type="secondRowStripe" dxfId="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Kushal</a:t>
            </a:r>
            <a:r>
              <a:rPr lang="en-US" baseline="0"/>
              <a:t> bhau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trendline>
            <c:spPr>
              <a:ln w="25400" cap="rnd">
                <a:solidFill>
                  <a:schemeClr val="accent1">
                    <a:alpha val="50000"/>
                  </a:schemeClr>
                </a:solidFill>
              </a:ln>
              <a:effectLst/>
            </c:spPr>
            <c:trendlineType val="linear"/>
            <c:dispRSqr val="0"/>
            <c:dispEq val="0"/>
          </c:trendline>
          <c:xVal>
            <c:numRef>
              <c:f>'Form responses 1'!$B$2:$B$51</c:f>
              <c:numCache>
                <c:formatCode>General</c:formatCode>
                <c:ptCount val="50"/>
                <c:pt idx="0">
                  <c:v>152</c:v>
                </c:pt>
                <c:pt idx="1">
                  <c:v>175</c:v>
                </c:pt>
                <c:pt idx="2">
                  <c:v>164</c:v>
                </c:pt>
                <c:pt idx="3">
                  <c:v>165</c:v>
                </c:pt>
                <c:pt idx="4">
                  <c:v>166</c:v>
                </c:pt>
                <c:pt idx="5">
                  <c:v>164</c:v>
                </c:pt>
                <c:pt idx="6">
                  <c:v>150</c:v>
                </c:pt>
                <c:pt idx="7">
                  <c:v>158</c:v>
                </c:pt>
                <c:pt idx="8">
                  <c:v>170</c:v>
                </c:pt>
                <c:pt idx="9">
                  <c:v>167</c:v>
                </c:pt>
                <c:pt idx="10">
                  <c:v>177.8</c:v>
                </c:pt>
                <c:pt idx="11">
                  <c:v>160</c:v>
                </c:pt>
                <c:pt idx="12">
                  <c:v>185.9</c:v>
                </c:pt>
                <c:pt idx="13">
                  <c:v>158</c:v>
                </c:pt>
                <c:pt idx="14">
                  <c:v>161</c:v>
                </c:pt>
                <c:pt idx="15">
                  <c:v>150</c:v>
                </c:pt>
                <c:pt idx="16">
                  <c:v>170</c:v>
                </c:pt>
                <c:pt idx="17">
                  <c:v>160</c:v>
                </c:pt>
                <c:pt idx="18">
                  <c:v>156</c:v>
                </c:pt>
                <c:pt idx="19">
                  <c:v>152.4</c:v>
                </c:pt>
                <c:pt idx="20">
                  <c:v>157</c:v>
                </c:pt>
                <c:pt idx="21">
                  <c:v>172</c:v>
                </c:pt>
                <c:pt idx="22">
                  <c:v>160</c:v>
                </c:pt>
                <c:pt idx="23">
                  <c:v>160</c:v>
                </c:pt>
                <c:pt idx="24">
                  <c:v>175</c:v>
                </c:pt>
                <c:pt idx="25">
                  <c:v>188</c:v>
                </c:pt>
                <c:pt idx="26">
                  <c:v>167</c:v>
                </c:pt>
                <c:pt idx="27">
                  <c:v>157.5</c:v>
                </c:pt>
                <c:pt idx="28">
                  <c:v>157</c:v>
                </c:pt>
                <c:pt idx="29">
                  <c:v>188</c:v>
                </c:pt>
                <c:pt idx="30">
                  <c:v>177</c:v>
                </c:pt>
                <c:pt idx="31">
                  <c:v>180</c:v>
                </c:pt>
                <c:pt idx="32">
                  <c:v>151</c:v>
                </c:pt>
                <c:pt idx="33">
                  <c:v>183</c:v>
                </c:pt>
                <c:pt idx="34">
                  <c:v>165.1</c:v>
                </c:pt>
                <c:pt idx="35">
                  <c:v>167</c:v>
                </c:pt>
                <c:pt idx="36">
                  <c:v>167.6</c:v>
                </c:pt>
                <c:pt idx="37">
                  <c:v>162</c:v>
                </c:pt>
                <c:pt idx="38">
                  <c:v>181</c:v>
                </c:pt>
                <c:pt idx="39">
                  <c:v>152</c:v>
                </c:pt>
                <c:pt idx="40">
                  <c:v>161</c:v>
                </c:pt>
                <c:pt idx="41">
                  <c:v>157.5</c:v>
                </c:pt>
                <c:pt idx="42">
                  <c:v>160</c:v>
                </c:pt>
                <c:pt idx="43">
                  <c:v>160</c:v>
                </c:pt>
                <c:pt idx="44">
                  <c:v>161.5</c:v>
                </c:pt>
                <c:pt idx="45">
                  <c:v>166</c:v>
                </c:pt>
                <c:pt idx="46">
                  <c:v>180</c:v>
                </c:pt>
                <c:pt idx="47">
                  <c:v>151</c:v>
                </c:pt>
                <c:pt idx="48">
                  <c:v>175</c:v>
                </c:pt>
                <c:pt idx="49">
                  <c:v>180</c:v>
                </c:pt>
              </c:numCache>
            </c:numRef>
          </c:xVal>
          <c:yVal>
            <c:numRef>
              <c:f>'Form responses 1'!$C$2:$C$51</c:f>
              <c:numCache>
                <c:formatCode>General</c:formatCode>
                <c:ptCount val="50"/>
                <c:pt idx="0">
                  <c:v>60</c:v>
                </c:pt>
                <c:pt idx="1">
                  <c:v>65</c:v>
                </c:pt>
                <c:pt idx="2">
                  <c:v>45</c:v>
                </c:pt>
                <c:pt idx="3">
                  <c:v>65</c:v>
                </c:pt>
                <c:pt idx="4">
                  <c:v>48</c:v>
                </c:pt>
                <c:pt idx="5">
                  <c:v>43</c:v>
                </c:pt>
                <c:pt idx="6">
                  <c:v>40</c:v>
                </c:pt>
                <c:pt idx="7">
                  <c:v>47</c:v>
                </c:pt>
                <c:pt idx="8">
                  <c:v>55</c:v>
                </c:pt>
                <c:pt idx="9">
                  <c:v>60</c:v>
                </c:pt>
                <c:pt idx="10">
                  <c:v>79</c:v>
                </c:pt>
                <c:pt idx="11">
                  <c:v>65</c:v>
                </c:pt>
                <c:pt idx="12">
                  <c:v>53</c:v>
                </c:pt>
                <c:pt idx="13">
                  <c:v>42</c:v>
                </c:pt>
                <c:pt idx="14">
                  <c:v>48</c:v>
                </c:pt>
                <c:pt idx="15">
                  <c:v>49</c:v>
                </c:pt>
                <c:pt idx="16">
                  <c:v>55</c:v>
                </c:pt>
                <c:pt idx="17">
                  <c:v>52</c:v>
                </c:pt>
                <c:pt idx="18">
                  <c:v>46</c:v>
                </c:pt>
                <c:pt idx="19">
                  <c:v>55</c:v>
                </c:pt>
                <c:pt idx="20">
                  <c:v>70</c:v>
                </c:pt>
                <c:pt idx="21">
                  <c:v>50</c:v>
                </c:pt>
                <c:pt idx="22">
                  <c:v>65</c:v>
                </c:pt>
                <c:pt idx="23">
                  <c:v>42</c:v>
                </c:pt>
                <c:pt idx="24">
                  <c:v>77</c:v>
                </c:pt>
                <c:pt idx="25">
                  <c:v>48</c:v>
                </c:pt>
                <c:pt idx="26">
                  <c:v>61</c:v>
                </c:pt>
                <c:pt idx="27">
                  <c:v>42</c:v>
                </c:pt>
                <c:pt idx="28">
                  <c:v>40</c:v>
                </c:pt>
                <c:pt idx="29">
                  <c:v>71</c:v>
                </c:pt>
                <c:pt idx="30">
                  <c:v>61</c:v>
                </c:pt>
                <c:pt idx="31">
                  <c:v>90</c:v>
                </c:pt>
                <c:pt idx="32">
                  <c:v>42</c:v>
                </c:pt>
                <c:pt idx="33">
                  <c:v>52</c:v>
                </c:pt>
                <c:pt idx="34">
                  <c:v>59</c:v>
                </c:pt>
                <c:pt idx="35">
                  <c:v>52</c:v>
                </c:pt>
                <c:pt idx="36">
                  <c:v>40</c:v>
                </c:pt>
                <c:pt idx="37">
                  <c:v>57</c:v>
                </c:pt>
                <c:pt idx="38">
                  <c:v>70</c:v>
                </c:pt>
                <c:pt idx="39">
                  <c:v>42</c:v>
                </c:pt>
                <c:pt idx="40">
                  <c:v>90</c:v>
                </c:pt>
                <c:pt idx="41">
                  <c:v>55</c:v>
                </c:pt>
                <c:pt idx="42">
                  <c:v>55</c:v>
                </c:pt>
                <c:pt idx="43">
                  <c:v>51</c:v>
                </c:pt>
                <c:pt idx="44">
                  <c:v>60</c:v>
                </c:pt>
                <c:pt idx="45">
                  <c:v>55</c:v>
                </c:pt>
                <c:pt idx="46">
                  <c:v>57</c:v>
                </c:pt>
                <c:pt idx="47">
                  <c:v>52</c:v>
                </c:pt>
                <c:pt idx="48">
                  <c:v>65</c:v>
                </c:pt>
                <c:pt idx="49">
                  <c:v>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0C4-484B-B0D0-399811220A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69368975"/>
        <c:axId val="1469357327"/>
      </c:scatterChart>
      <c:valAx>
        <c:axId val="1469368975"/>
        <c:scaling>
          <c:orientation val="minMax"/>
          <c:min val="140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Height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9357327"/>
        <c:crosses val="autoZero"/>
        <c:crossBetween val="midCat"/>
      </c:valAx>
      <c:valAx>
        <c:axId val="1469357327"/>
        <c:scaling>
          <c:orientation val="minMax"/>
          <c:min val="30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Weight</a:t>
                </a:r>
              </a:p>
              <a:p>
                <a:pPr>
                  <a:defRPr/>
                </a:pPr>
                <a:endParaRPr 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93689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742950</xdr:colOff>
      <xdr:row>33</xdr:row>
      <xdr:rowOff>85725</xdr:rowOff>
    </xdr:from>
    <xdr:to>
      <xdr:col>10</xdr:col>
      <xdr:colOff>628650</xdr:colOff>
      <xdr:row>47</xdr:row>
      <xdr:rowOff>214312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id="1" name="Form_Responses" displayName="Form_Responses" ref="A1:E54" headerRowDxfId="1">
  <autoFilter ref="A1:E54"/>
  <sortState ref="A2:C54">
    <sortCondition ref="A1:A54"/>
  </sortState>
  <tableColumns count="5">
    <tableColumn id="3" name="Roll No"/>
    <tableColumn id="4" name="Height (In cm)"/>
    <tableColumn id="5" name="Weight (In kg)"/>
    <tableColumn id="1" name="Column1"/>
    <tableColumn id="2" name="Column2" dataDxfId="0">
      <calculatedColumnFormula>Form_Responses[[#This Row],[Height (In cm)]]*Form_Responses[[#This Row],[Weight (In kg)]]</calculatedColumnFormula>
    </tableColumn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54"/>
  <sheetViews>
    <sheetView tabSelected="1" topLeftCell="D1" workbookViewId="0">
      <pane ySplit="1" topLeftCell="A32" activePane="bottomLeft" state="frozen"/>
      <selection pane="bottomLeft" activeCell="I49" sqref="I49"/>
    </sheetView>
  </sheetViews>
  <sheetFormatPr defaultColWidth="12.5703125" defaultRowHeight="15.75" customHeight="1" x14ac:dyDescent="0.2"/>
  <cols>
    <col min="1" max="9" width="18.85546875" customWidth="1"/>
  </cols>
  <sheetData>
    <row r="1" spans="1:5" s="3" customFormat="1" ht="22.5" customHeight="1" x14ac:dyDescent="0.2">
      <c r="A1" s="2" t="s">
        <v>0</v>
      </c>
      <c r="B1" s="2" t="s">
        <v>1</v>
      </c>
      <c r="C1" s="2" t="s">
        <v>2</v>
      </c>
      <c r="D1" s="3" t="s">
        <v>4</v>
      </c>
      <c r="E1" s="3" t="s">
        <v>5</v>
      </c>
    </row>
    <row r="2" spans="1:5" ht="22.5" customHeight="1" x14ac:dyDescent="0.2">
      <c r="A2" s="4">
        <v>1</v>
      </c>
      <c r="B2" s="1">
        <v>152</v>
      </c>
      <c r="C2" s="1">
        <v>60</v>
      </c>
      <c r="E2">
        <f>Form_Responses[[#This Row],[Height (In cm)]]*Form_Responses[[#This Row],[Weight (In kg)]]</f>
        <v>9120</v>
      </c>
    </row>
    <row r="3" spans="1:5" ht="22.5" customHeight="1" x14ac:dyDescent="0.2">
      <c r="A3" s="4">
        <v>2</v>
      </c>
      <c r="B3" s="1">
        <v>175</v>
      </c>
      <c r="C3" s="1">
        <v>65</v>
      </c>
      <c r="E3">
        <f>Form_Responses[[#This Row],[Height (In cm)]]*Form_Responses[[#This Row],[Weight (In kg)]]</f>
        <v>11375</v>
      </c>
    </row>
    <row r="4" spans="1:5" ht="22.5" customHeight="1" x14ac:dyDescent="0.2">
      <c r="A4" s="4">
        <v>5</v>
      </c>
      <c r="B4" s="1">
        <v>164</v>
      </c>
      <c r="C4" s="1">
        <v>45</v>
      </c>
      <c r="E4">
        <f>Form_Responses[[#This Row],[Height (In cm)]]*Form_Responses[[#This Row],[Weight (In kg)]]</f>
        <v>7380</v>
      </c>
    </row>
    <row r="5" spans="1:5" ht="22.5" customHeight="1" x14ac:dyDescent="0.2">
      <c r="A5" s="4">
        <v>7</v>
      </c>
      <c r="B5" s="1">
        <v>165</v>
      </c>
      <c r="C5" s="1">
        <v>65</v>
      </c>
      <c r="E5">
        <f>Form_Responses[[#This Row],[Height (In cm)]]*Form_Responses[[#This Row],[Weight (In kg)]]</f>
        <v>10725</v>
      </c>
    </row>
    <row r="6" spans="1:5" ht="22.5" customHeight="1" x14ac:dyDescent="0.2">
      <c r="A6" s="1">
        <v>10</v>
      </c>
      <c r="B6" s="1">
        <v>166</v>
      </c>
      <c r="C6" s="1">
        <v>48</v>
      </c>
      <c r="E6">
        <f>Form_Responses[[#This Row],[Height (In cm)]]*Form_Responses[[#This Row],[Weight (In kg)]]</f>
        <v>7968</v>
      </c>
    </row>
    <row r="7" spans="1:5" ht="22.5" customHeight="1" x14ac:dyDescent="0.2">
      <c r="A7" s="1">
        <v>11</v>
      </c>
      <c r="B7" s="1">
        <v>164</v>
      </c>
      <c r="C7" s="1">
        <v>43</v>
      </c>
      <c r="E7">
        <f>Form_Responses[[#This Row],[Height (In cm)]]*Form_Responses[[#This Row],[Weight (In kg)]]</f>
        <v>7052</v>
      </c>
    </row>
    <row r="8" spans="1:5" ht="22.5" customHeight="1" x14ac:dyDescent="0.2">
      <c r="A8" s="1">
        <v>13</v>
      </c>
      <c r="B8" s="1">
        <v>150</v>
      </c>
      <c r="C8" s="1">
        <v>40</v>
      </c>
      <c r="E8">
        <f>Form_Responses[[#This Row],[Height (In cm)]]*Form_Responses[[#This Row],[Weight (In kg)]]</f>
        <v>6000</v>
      </c>
    </row>
    <row r="9" spans="1:5" ht="22.5" customHeight="1" x14ac:dyDescent="0.2">
      <c r="A9" s="1">
        <v>15</v>
      </c>
      <c r="B9" s="1">
        <v>158</v>
      </c>
      <c r="C9" s="1">
        <v>47</v>
      </c>
      <c r="E9">
        <f>Form_Responses[[#This Row],[Height (In cm)]]*Form_Responses[[#This Row],[Weight (In kg)]]</f>
        <v>7426</v>
      </c>
    </row>
    <row r="10" spans="1:5" ht="22.5" customHeight="1" x14ac:dyDescent="0.2">
      <c r="A10" s="1">
        <v>16</v>
      </c>
      <c r="B10" s="1">
        <v>170</v>
      </c>
      <c r="C10" s="1">
        <v>55</v>
      </c>
      <c r="E10">
        <f>Form_Responses[[#This Row],[Height (In cm)]]*Form_Responses[[#This Row],[Weight (In kg)]]</f>
        <v>9350</v>
      </c>
    </row>
    <row r="11" spans="1:5" ht="22.5" customHeight="1" x14ac:dyDescent="0.2">
      <c r="A11" s="1">
        <v>21</v>
      </c>
      <c r="B11" s="1">
        <v>167</v>
      </c>
      <c r="C11" s="1">
        <v>60</v>
      </c>
      <c r="E11">
        <f>Form_Responses[[#This Row],[Height (In cm)]]*Form_Responses[[#This Row],[Weight (In kg)]]</f>
        <v>10020</v>
      </c>
    </row>
    <row r="12" spans="1:5" ht="22.5" customHeight="1" x14ac:dyDescent="0.2">
      <c r="A12" s="1">
        <v>25</v>
      </c>
      <c r="B12" s="1">
        <v>177.8</v>
      </c>
      <c r="C12" s="1">
        <v>79</v>
      </c>
      <c r="E12">
        <f>Form_Responses[[#This Row],[Height (In cm)]]*Form_Responses[[#This Row],[Weight (In kg)]]</f>
        <v>14046.2</v>
      </c>
    </row>
    <row r="13" spans="1:5" ht="22.5" customHeight="1" x14ac:dyDescent="0.2">
      <c r="A13" s="1">
        <v>29</v>
      </c>
      <c r="B13" s="1">
        <v>160</v>
      </c>
      <c r="C13" s="1">
        <v>65</v>
      </c>
      <c r="E13">
        <f>Form_Responses[[#This Row],[Height (In cm)]]*Form_Responses[[#This Row],[Weight (In kg)]]</f>
        <v>10400</v>
      </c>
    </row>
    <row r="14" spans="1:5" ht="22.5" customHeight="1" x14ac:dyDescent="0.2">
      <c r="A14" s="1">
        <v>31</v>
      </c>
      <c r="B14" s="1">
        <v>185.9</v>
      </c>
      <c r="C14" s="1">
        <v>53</v>
      </c>
      <c r="E14">
        <f>Form_Responses[[#This Row],[Height (In cm)]]*Form_Responses[[#This Row],[Weight (In kg)]]</f>
        <v>9852.7000000000007</v>
      </c>
    </row>
    <row r="15" spans="1:5" ht="22.5" customHeight="1" x14ac:dyDescent="0.2">
      <c r="A15" s="1">
        <v>32</v>
      </c>
      <c r="B15" s="1">
        <v>158</v>
      </c>
      <c r="C15" s="1">
        <v>42</v>
      </c>
      <c r="E15">
        <f>Form_Responses[[#This Row],[Height (In cm)]]*Form_Responses[[#This Row],[Weight (In kg)]]</f>
        <v>6636</v>
      </c>
    </row>
    <row r="16" spans="1:5" ht="22.5" customHeight="1" x14ac:dyDescent="0.2">
      <c r="A16" s="1">
        <v>33</v>
      </c>
      <c r="B16" s="1">
        <v>161</v>
      </c>
      <c r="C16" s="1">
        <v>48</v>
      </c>
      <c r="E16">
        <f>Form_Responses[[#This Row],[Height (In cm)]]*Form_Responses[[#This Row],[Weight (In kg)]]</f>
        <v>7728</v>
      </c>
    </row>
    <row r="17" spans="1:5" ht="22.5" customHeight="1" x14ac:dyDescent="0.2">
      <c r="A17" s="1">
        <v>41</v>
      </c>
      <c r="B17" s="1">
        <v>150</v>
      </c>
      <c r="C17" s="1">
        <v>49</v>
      </c>
      <c r="E17">
        <f>Form_Responses[[#This Row],[Height (In cm)]]*Form_Responses[[#This Row],[Weight (In kg)]]</f>
        <v>7350</v>
      </c>
    </row>
    <row r="18" spans="1:5" ht="22.5" customHeight="1" x14ac:dyDescent="0.2">
      <c r="A18" s="1">
        <v>44</v>
      </c>
      <c r="B18" s="1">
        <v>170</v>
      </c>
      <c r="C18" s="1">
        <v>55</v>
      </c>
      <c r="E18">
        <f>Form_Responses[[#This Row],[Height (In cm)]]*Form_Responses[[#This Row],[Weight (In kg)]]</f>
        <v>9350</v>
      </c>
    </row>
    <row r="19" spans="1:5" ht="22.5" customHeight="1" x14ac:dyDescent="0.2">
      <c r="A19" s="1">
        <v>49</v>
      </c>
      <c r="B19" s="1">
        <v>160</v>
      </c>
      <c r="C19" s="1">
        <v>52</v>
      </c>
      <c r="E19">
        <f>Form_Responses[[#This Row],[Height (In cm)]]*Form_Responses[[#This Row],[Weight (In kg)]]</f>
        <v>8320</v>
      </c>
    </row>
    <row r="20" spans="1:5" ht="22.5" customHeight="1" x14ac:dyDescent="0.2">
      <c r="A20" s="1">
        <v>55</v>
      </c>
      <c r="B20" s="1">
        <v>156</v>
      </c>
      <c r="C20" s="1">
        <v>46</v>
      </c>
      <c r="E20">
        <f>Form_Responses[[#This Row],[Height (In cm)]]*Form_Responses[[#This Row],[Weight (In kg)]]</f>
        <v>7176</v>
      </c>
    </row>
    <row r="21" spans="1:5" ht="22.5" customHeight="1" x14ac:dyDescent="0.2">
      <c r="A21" s="1">
        <v>60</v>
      </c>
      <c r="B21" s="1">
        <v>152.4</v>
      </c>
      <c r="C21" s="1">
        <v>55</v>
      </c>
      <c r="E21">
        <f>Form_Responses[[#This Row],[Height (In cm)]]*Form_Responses[[#This Row],[Weight (In kg)]]</f>
        <v>8382</v>
      </c>
    </row>
    <row r="22" spans="1:5" ht="22.5" customHeight="1" x14ac:dyDescent="0.2">
      <c r="A22" s="1">
        <v>64</v>
      </c>
      <c r="B22" s="1">
        <v>157</v>
      </c>
      <c r="C22" s="1">
        <v>70</v>
      </c>
      <c r="E22">
        <f>Form_Responses[[#This Row],[Height (In cm)]]*Form_Responses[[#This Row],[Weight (In kg)]]</f>
        <v>10990</v>
      </c>
    </row>
    <row r="23" spans="1:5" ht="22.5" customHeight="1" x14ac:dyDescent="0.2">
      <c r="A23" s="1">
        <v>65</v>
      </c>
      <c r="B23" s="1">
        <v>172</v>
      </c>
      <c r="C23" s="1">
        <v>50</v>
      </c>
      <c r="E23">
        <f>Form_Responses[[#This Row],[Height (In cm)]]*Form_Responses[[#This Row],[Weight (In kg)]]</f>
        <v>8600</v>
      </c>
    </row>
    <row r="24" spans="1:5" ht="22.5" customHeight="1" x14ac:dyDescent="0.2">
      <c r="A24" s="1">
        <v>66</v>
      </c>
      <c r="B24" s="1">
        <v>160</v>
      </c>
      <c r="C24" s="1">
        <v>65</v>
      </c>
      <c r="E24">
        <f>Form_Responses[[#This Row],[Height (In cm)]]*Form_Responses[[#This Row],[Weight (In kg)]]</f>
        <v>10400</v>
      </c>
    </row>
    <row r="25" spans="1:5" ht="22.5" customHeight="1" x14ac:dyDescent="0.2">
      <c r="A25" s="1">
        <v>68</v>
      </c>
      <c r="B25" s="1">
        <v>160</v>
      </c>
      <c r="C25" s="1">
        <v>42</v>
      </c>
      <c r="E25">
        <f>Form_Responses[[#This Row],[Height (In cm)]]*Form_Responses[[#This Row],[Weight (In kg)]]</f>
        <v>6720</v>
      </c>
    </row>
    <row r="26" spans="1:5" ht="22.5" customHeight="1" x14ac:dyDescent="0.2">
      <c r="A26" s="1">
        <v>69</v>
      </c>
      <c r="B26" s="1">
        <v>175</v>
      </c>
      <c r="C26" s="1">
        <v>77</v>
      </c>
      <c r="E26">
        <f>Form_Responses[[#This Row],[Height (In cm)]]*Form_Responses[[#This Row],[Weight (In kg)]]</f>
        <v>13475</v>
      </c>
    </row>
    <row r="27" spans="1:5" ht="22.5" customHeight="1" x14ac:dyDescent="0.2">
      <c r="A27" s="1">
        <v>70</v>
      </c>
      <c r="B27" s="1">
        <v>188</v>
      </c>
      <c r="C27" s="1">
        <v>48</v>
      </c>
      <c r="E27">
        <f>Form_Responses[[#This Row],[Height (In cm)]]*Form_Responses[[#This Row],[Weight (In kg)]]</f>
        <v>9024</v>
      </c>
    </row>
    <row r="28" spans="1:5" ht="22.5" customHeight="1" x14ac:dyDescent="0.2">
      <c r="A28" s="1">
        <v>71</v>
      </c>
      <c r="B28" s="1">
        <v>167</v>
      </c>
      <c r="C28" s="1">
        <v>61</v>
      </c>
      <c r="E28">
        <f>Form_Responses[[#This Row],[Height (In cm)]]*Form_Responses[[#This Row],[Weight (In kg)]]</f>
        <v>10187</v>
      </c>
    </row>
    <row r="29" spans="1:5" ht="22.5" customHeight="1" x14ac:dyDescent="0.2">
      <c r="A29" s="1">
        <v>72</v>
      </c>
      <c r="B29" s="1">
        <v>157.5</v>
      </c>
      <c r="C29" s="1">
        <v>42</v>
      </c>
      <c r="E29">
        <f>Form_Responses[[#This Row],[Height (In cm)]]*Form_Responses[[#This Row],[Weight (In kg)]]</f>
        <v>6615</v>
      </c>
    </row>
    <row r="30" spans="1:5" ht="22.5" customHeight="1" x14ac:dyDescent="0.2">
      <c r="A30" s="1">
        <v>77</v>
      </c>
      <c r="B30" s="1">
        <v>157</v>
      </c>
      <c r="C30" s="1">
        <v>40</v>
      </c>
      <c r="E30">
        <f>Form_Responses[[#This Row],[Height (In cm)]]*Form_Responses[[#This Row],[Weight (In kg)]]</f>
        <v>6280</v>
      </c>
    </row>
    <row r="31" spans="1:5" ht="22.5" customHeight="1" x14ac:dyDescent="0.2">
      <c r="A31" s="1">
        <v>79</v>
      </c>
      <c r="B31" s="1">
        <v>188</v>
      </c>
      <c r="C31" s="1">
        <v>71</v>
      </c>
      <c r="E31">
        <f>Form_Responses[[#This Row],[Height (In cm)]]*Form_Responses[[#This Row],[Weight (In kg)]]</f>
        <v>13348</v>
      </c>
    </row>
    <row r="32" spans="1:5" ht="22.5" customHeight="1" x14ac:dyDescent="0.2">
      <c r="A32" s="1">
        <v>80</v>
      </c>
      <c r="B32" s="1">
        <v>177</v>
      </c>
      <c r="C32" s="1">
        <v>61</v>
      </c>
      <c r="E32">
        <f>Form_Responses[[#This Row],[Height (In cm)]]*Form_Responses[[#This Row],[Weight (In kg)]]</f>
        <v>10797</v>
      </c>
    </row>
    <row r="33" spans="1:5" ht="22.5" customHeight="1" x14ac:dyDescent="0.2">
      <c r="A33" s="1">
        <v>84</v>
      </c>
      <c r="B33" s="1">
        <v>180</v>
      </c>
      <c r="C33" s="1">
        <v>90</v>
      </c>
      <c r="E33">
        <f>Form_Responses[[#This Row],[Height (In cm)]]*Form_Responses[[#This Row],[Weight (In kg)]]</f>
        <v>16200</v>
      </c>
    </row>
    <row r="34" spans="1:5" ht="22.5" customHeight="1" x14ac:dyDescent="0.2">
      <c r="A34" s="1">
        <v>98</v>
      </c>
      <c r="B34" s="1">
        <v>151</v>
      </c>
      <c r="C34" s="1">
        <v>42</v>
      </c>
      <c r="E34">
        <f>Form_Responses[[#This Row],[Height (In cm)]]*Form_Responses[[#This Row],[Weight (In kg)]]</f>
        <v>6342</v>
      </c>
    </row>
    <row r="35" spans="1:5" ht="22.5" customHeight="1" x14ac:dyDescent="0.2">
      <c r="A35" s="1">
        <v>101</v>
      </c>
      <c r="B35" s="1">
        <v>183</v>
      </c>
      <c r="C35" s="1">
        <v>52</v>
      </c>
      <c r="E35">
        <f>Form_Responses[[#This Row],[Height (In cm)]]*Form_Responses[[#This Row],[Weight (In kg)]]</f>
        <v>9516</v>
      </c>
    </row>
    <row r="36" spans="1:5" ht="22.5" customHeight="1" x14ac:dyDescent="0.2">
      <c r="A36" s="1">
        <v>108</v>
      </c>
      <c r="B36" s="1">
        <v>165.1</v>
      </c>
      <c r="C36" s="1">
        <v>59</v>
      </c>
      <c r="E36">
        <f>Form_Responses[[#This Row],[Height (In cm)]]*Form_Responses[[#This Row],[Weight (In kg)]]</f>
        <v>9740.9</v>
      </c>
    </row>
    <row r="37" spans="1:5" ht="22.5" customHeight="1" x14ac:dyDescent="0.2">
      <c r="A37" s="1">
        <v>109</v>
      </c>
      <c r="B37" s="1">
        <v>167</v>
      </c>
      <c r="C37" s="1">
        <v>52</v>
      </c>
      <c r="E37">
        <f>Form_Responses[[#This Row],[Height (In cm)]]*Form_Responses[[#This Row],[Weight (In kg)]]</f>
        <v>8684</v>
      </c>
    </row>
    <row r="38" spans="1:5" ht="22.5" customHeight="1" x14ac:dyDescent="0.2">
      <c r="A38" s="1">
        <v>110</v>
      </c>
      <c r="B38" s="1">
        <v>167.6</v>
      </c>
      <c r="C38" s="1">
        <v>40</v>
      </c>
      <c r="E38">
        <f>Form_Responses[[#This Row],[Height (In cm)]]*Form_Responses[[#This Row],[Weight (In kg)]]</f>
        <v>6704</v>
      </c>
    </row>
    <row r="39" spans="1:5" ht="22.5" customHeight="1" x14ac:dyDescent="0.2">
      <c r="A39" s="1">
        <v>111</v>
      </c>
      <c r="B39" s="1">
        <v>162</v>
      </c>
      <c r="C39" s="1">
        <v>57</v>
      </c>
      <c r="E39">
        <f>Form_Responses[[#This Row],[Height (In cm)]]*Form_Responses[[#This Row],[Weight (In kg)]]</f>
        <v>9234</v>
      </c>
    </row>
    <row r="40" spans="1:5" ht="22.5" customHeight="1" x14ac:dyDescent="0.2">
      <c r="A40" s="1">
        <v>112</v>
      </c>
      <c r="B40" s="1">
        <v>181</v>
      </c>
      <c r="C40" s="1">
        <v>70</v>
      </c>
      <c r="E40">
        <f>Form_Responses[[#This Row],[Height (In cm)]]*Form_Responses[[#This Row],[Weight (In kg)]]</f>
        <v>12670</v>
      </c>
    </row>
    <row r="41" spans="1:5" ht="22.5" customHeight="1" x14ac:dyDescent="0.2">
      <c r="A41" s="1">
        <v>113</v>
      </c>
      <c r="B41" s="1">
        <v>152</v>
      </c>
      <c r="C41" s="1">
        <v>42</v>
      </c>
      <c r="E41">
        <f>Form_Responses[[#This Row],[Height (In cm)]]*Form_Responses[[#This Row],[Weight (In kg)]]</f>
        <v>6384</v>
      </c>
    </row>
    <row r="42" spans="1:5" ht="22.5" customHeight="1" x14ac:dyDescent="0.2">
      <c r="A42" s="1">
        <v>114</v>
      </c>
      <c r="B42" s="1">
        <v>161</v>
      </c>
      <c r="C42" s="1">
        <v>90</v>
      </c>
      <c r="E42">
        <f>Form_Responses[[#This Row],[Height (In cm)]]*Form_Responses[[#This Row],[Weight (In kg)]]</f>
        <v>14490</v>
      </c>
    </row>
    <row r="43" spans="1:5" ht="22.5" customHeight="1" x14ac:dyDescent="0.2">
      <c r="A43" s="1">
        <v>116</v>
      </c>
      <c r="B43" s="1">
        <v>157.5</v>
      </c>
      <c r="C43" s="1">
        <v>55</v>
      </c>
      <c r="E43">
        <f>Form_Responses[[#This Row],[Height (In cm)]]*Form_Responses[[#This Row],[Weight (In kg)]]</f>
        <v>8662.5</v>
      </c>
    </row>
    <row r="44" spans="1:5" ht="22.5" customHeight="1" x14ac:dyDescent="0.2">
      <c r="A44" s="1">
        <v>117</v>
      </c>
      <c r="B44" s="1">
        <v>160</v>
      </c>
      <c r="C44" s="1">
        <v>55</v>
      </c>
      <c r="E44">
        <f>Form_Responses[[#This Row],[Height (In cm)]]*Form_Responses[[#This Row],[Weight (In kg)]]</f>
        <v>8800</v>
      </c>
    </row>
    <row r="45" spans="1:5" ht="22.5" customHeight="1" x14ac:dyDescent="0.2">
      <c r="A45" s="1">
        <v>120</v>
      </c>
      <c r="B45" s="1">
        <v>160</v>
      </c>
      <c r="C45" s="1">
        <v>51</v>
      </c>
      <c r="E45">
        <f>Form_Responses[[#This Row],[Height (In cm)]]*Form_Responses[[#This Row],[Weight (In kg)]]</f>
        <v>8160</v>
      </c>
    </row>
    <row r="46" spans="1:5" ht="22.5" customHeight="1" x14ac:dyDescent="0.2">
      <c r="A46" s="1">
        <v>123</v>
      </c>
      <c r="B46" s="1">
        <v>161.5</v>
      </c>
      <c r="C46" s="1">
        <v>60</v>
      </c>
      <c r="E46">
        <f>Form_Responses[[#This Row],[Height (In cm)]]*Form_Responses[[#This Row],[Weight (In kg)]]</f>
        <v>9690</v>
      </c>
    </row>
    <row r="47" spans="1:5" ht="22.5" customHeight="1" x14ac:dyDescent="0.2">
      <c r="A47" s="1">
        <v>126</v>
      </c>
      <c r="B47" s="1">
        <v>166</v>
      </c>
      <c r="C47" s="1">
        <v>55</v>
      </c>
      <c r="E47">
        <f>Form_Responses[[#This Row],[Height (In cm)]]*Form_Responses[[#This Row],[Weight (In kg)]]</f>
        <v>9130</v>
      </c>
    </row>
    <row r="48" spans="1:5" ht="22.5" customHeight="1" x14ac:dyDescent="0.2">
      <c r="A48" s="1">
        <v>129</v>
      </c>
      <c r="B48" s="1">
        <v>180</v>
      </c>
      <c r="C48" s="1">
        <v>57</v>
      </c>
      <c r="E48">
        <f>Form_Responses[[#This Row],[Height (In cm)]]*Form_Responses[[#This Row],[Weight (In kg)]]</f>
        <v>10260</v>
      </c>
    </row>
    <row r="49" spans="1:5" ht="22.5" customHeight="1" x14ac:dyDescent="0.2">
      <c r="A49" s="1">
        <v>130</v>
      </c>
      <c r="B49" s="1">
        <v>151</v>
      </c>
      <c r="C49" s="1">
        <v>52</v>
      </c>
      <c r="E49">
        <f>Form_Responses[[#This Row],[Height (In cm)]]*Form_Responses[[#This Row],[Weight (In kg)]]</f>
        <v>7852</v>
      </c>
    </row>
    <row r="50" spans="1:5" ht="22.5" customHeight="1" x14ac:dyDescent="0.2">
      <c r="A50" s="1">
        <v>131</v>
      </c>
      <c r="B50" s="1">
        <v>175</v>
      </c>
      <c r="C50" s="1">
        <v>65</v>
      </c>
      <c r="E50">
        <f>Form_Responses[[#This Row],[Height (In cm)]]*Form_Responses[[#This Row],[Weight (In kg)]]</f>
        <v>11375</v>
      </c>
    </row>
    <row r="51" spans="1:5" ht="22.5" customHeight="1" x14ac:dyDescent="0.2">
      <c r="A51" s="1">
        <v>133</v>
      </c>
      <c r="B51" s="1">
        <v>180</v>
      </c>
      <c r="C51" s="1">
        <v>63</v>
      </c>
      <c r="E51">
        <f>Form_Responses[[#This Row],[Height (In cm)]]*Form_Responses[[#This Row],[Weight (In kg)]]</f>
        <v>11340</v>
      </c>
    </row>
    <row r="52" spans="1:5" ht="22.5" customHeight="1" x14ac:dyDescent="0.2">
      <c r="A52" s="5" t="s">
        <v>3</v>
      </c>
      <c r="B52" s="5">
        <f>SUM(B2:B51)</f>
        <v>8281.3000000000011</v>
      </c>
      <c r="C52" s="5">
        <f>SUM(C2:C51)</f>
        <v>2806</v>
      </c>
    </row>
    <row r="53" spans="1:5" ht="22.5" customHeight="1" x14ac:dyDescent="0.2">
      <c r="D53">
        <v>1353942.97</v>
      </c>
      <c r="E53">
        <f>SUM(E2:E51)</f>
        <v>467327.30000000005</v>
      </c>
    </row>
    <row r="54" spans="1:5" ht="22.5" customHeight="1" x14ac:dyDescent="0.2"/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rcc</cp:lastModifiedBy>
  <dcterms:modified xsi:type="dcterms:W3CDTF">2026-07-20T08:11:16Z</dcterms:modified>
</cp:coreProperties>
</file>